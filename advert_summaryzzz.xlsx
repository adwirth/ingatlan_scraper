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gatlan_scraper\"/>
    </mc:Choice>
  </mc:AlternateContent>
  <xr:revisionPtr revIDLastSave="0" documentId="13_ncr:9_{463D7260-83A9-48D9-89CB-23F5D8E8DD22}" xr6:coauthVersionLast="47" xr6:coauthVersionMax="47" xr10:uidLastSave="{00000000-0000-0000-0000-000000000000}"/>
  <bookViews>
    <workbookView xWindow="-120" yWindow="-120" windowWidth="29040" windowHeight="15720" xr2:uid="{6ACBB595-D871-4F41-9824-E08B329DE015}"/>
  </bookViews>
  <sheets>
    <sheet name="advert_summaryzzz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" i="1"/>
</calcChain>
</file>

<file path=xl/sharedStrings.xml><?xml version="1.0" encoding="utf-8"?>
<sst xmlns="http://schemas.openxmlformats.org/spreadsheetml/2006/main" count="53" uniqueCount="27">
  <si>
    <t>advertId</t>
  </si>
  <si>
    <t>district</t>
  </si>
  <si>
    <t>first_query_date</t>
  </si>
  <si>
    <t>elapsed_days</t>
  </si>
  <si>
    <t>first_price</t>
  </si>
  <si>
    <t>last_price</t>
  </si>
  <si>
    <t>area</t>
  </si>
  <si>
    <t>rooms</t>
  </si>
  <si>
    <t>Budapest III. kerĂĽlet, Tarhos utca 156.</t>
  </si>
  <si>
    <t>Budapest III. kerĂĽlet, Aranyhegy</t>
  </si>
  <si>
    <t>Budapest III. kerĂĽlet, Jutas kĂ¶z 4.</t>
  </si>
  <si>
    <t>Budapest III. kerĂĽlet, ĂśrĂ¶mhegy</t>
  </si>
  <si>
    <t>Budapest III. kerĂĽlet, Csillaghegy</t>
  </si>
  <si>
    <t>Budapest III. kerĂĽlet, ĂśrĂ¶mfĹ± utca</t>
  </si>
  <si>
    <t>Budapest XI. kerĂĽlet, MadĂˇrhegy</t>
  </si>
  <si>
    <t>Budapest II. kerĂĽlet, II/A kerĂĽlet - Budaliget</t>
  </si>
  <si>
    <t>Budapest II. kerĂĽlet, ElĹ‘d vezĂ©r utca</t>
  </si>
  <si>
    <t>Budapest II. kerĂĽlet, Jegesmedve lejtĹ‘</t>
  </si>
  <si>
    <t>Budapest XI. kerĂĽlet, Szerelmey MiklĂłs utca</t>
  </si>
  <si>
    <t>Budapest III. kerĂĽlet, Tarhos utca</t>
  </si>
  <si>
    <t>Budapest III. kerĂĽlet, Naplemente utca</t>
  </si>
  <si>
    <t>Budapest XII. kerĂĽlet, DiĂłs Ăˇrok</t>
  </si>
  <si>
    <t>Budapest XII. kerĂĽlet, DenevĂ©r Ăşt</t>
  </si>
  <si>
    <t>Budapest III. kerĂĽlet, BĂ©csi Ăşt</t>
  </si>
  <si>
    <t>Budapest III. kerĂĽlet, Ă“arany utca 32.</t>
  </si>
  <si>
    <t>Budapest III. kerĂĽlet, Jutas utca</t>
  </si>
  <si>
    <t>area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</si>
</sst>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advert_summaryzzz!$G$1</c:f>
              <c:strCache>
                <c:ptCount val="1"/>
                <c:pt idx="0">
                  <c:v>area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advert_summaryzzz!$F$2:$F$44</c:f>
              <c:numCache>
                <c:formatCode>General</c:formatCode>
                <c:ptCount val="43"/>
                <c:pt idx="0">
                  <c:v>179.9</c:v>
                </c:pt>
                <c:pt idx="1">
                  <c:v>149</c:v>
                </c:pt>
                <c:pt idx="2">
                  <c:v>157.5</c:v>
                </c:pt>
                <c:pt idx="3">
                  <c:v>183.75</c:v>
                </c:pt>
                <c:pt idx="4">
                  <c:v>199.9</c:v>
                </c:pt>
                <c:pt idx="5">
                  <c:v>189.9</c:v>
                </c:pt>
                <c:pt idx="6">
                  <c:v>189</c:v>
                </c:pt>
                <c:pt idx="7">
                  <c:v>180</c:v>
                </c:pt>
                <c:pt idx="8">
                  <c:v>182</c:v>
                </c:pt>
                <c:pt idx="9">
                  <c:v>228</c:v>
                </c:pt>
                <c:pt idx="10">
                  <c:v>155</c:v>
                </c:pt>
                <c:pt idx="11">
                  <c:v>170</c:v>
                </c:pt>
                <c:pt idx="12">
                  <c:v>179.9</c:v>
                </c:pt>
                <c:pt idx="13">
                  <c:v>189</c:v>
                </c:pt>
                <c:pt idx="14">
                  <c:v>269</c:v>
                </c:pt>
                <c:pt idx="15">
                  <c:v>184</c:v>
                </c:pt>
                <c:pt idx="16">
                  <c:v>245</c:v>
                </c:pt>
                <c:pt idx="17">
                  <c:v>265</c:v>
                </c:pt>
                <c:pt idx="18">
                  <c:v>265</c:v>
                </c:pt>
                <c:pt idx="19">
                  <c:v>265</c:v>
                </c:pt>
                <c:pt idx="20">
                  <c:v>265</c:v>
                </c:pt>
                <c:pt idx="21">
                  <c:v>164.99</c:v>
                </c:pt>
                <c:pt idx="22">
                  <c:v>180</c:v>
                </c:pt>
                <c:pt idx="23">
                  <c:v>264.7</c:v>
                </c:pt>
                <c:pt idx="24">
                  <c:v>219</c:v>
                </c:pt>
                <c:pt idx="25">
                  <c:v>194.9</c:v>
                </c:pt>
                <c:pt idx="26">
                  <c:v>264.7</c:v>
                </c:pt>
                <c:pt idx="27">
                  <c:v>170</c:v>
                </c:pt>
                <c:pt idx="28">
                  <c:v>208</c:v>
                </c:pt>
                <c:pt idx="29">
                  <c:v>189</c:v>
                </c:pt>
                <c:pt idx="30">
                  <c:v>275</c:v>
                </c:pt>
                <c:pt idx="31">
                  <c:v>169</c:v>
                </c:pt>
                <c:pt idx="32">
                  <c:v>139.9</c:v>
                </c:pt>
                <c:pt idx="33">
                  <c:v>229.9</c:v>
                </c:pt>
                <c:pt idx="34">
                  <c:v>192</c:v>
                </c:pt>
                <c:pt idx="35">
                  <c:v>234.5</c:v>
                </c:pt>
                <c:pt idx="36">
                  <c:v>189.9</c:v>
                </c:pt>
                <c:pt idx="37">
                  <c:v>279</c:v>
                </c:pt>
                <c:pt idx="38">
                  <c:v>249</c:v>
                </c:pt>
                <c:pt idx="39">
                  <c:v>179</c:v>
                </c:pt>
                <c:pt idx="40">
                  <c:v>183.75</c:v>
                </c:pt>
                <c:pt idx="41">
                  <c:v>189.9</c:v>
                </c:pt>
                <c:pt idx="42">
                  <c:v>189.9</c:v>
                </c:pt>
              </c:numCache>
            </c:numRef>
          </c:xVal>
          <c:yVal>
            <c:numRef>
              <c:f>advert_summaryzzz!$G$2:$G$44</c:f>
              <c:numCache>
                <c:formatCode>General</c:formatCode>
                <c:ptCount val="43"/>
                <c:pt idx="0">
                  <c:v>112</c:v>
                </c:pt>
                <c:pt idx="1">
                  <c:v>95</c:v>
                </c:pt>
                <c:pt idx="2">
                  <c:v>122</c:v>
                </c:pt>
                <c:pt idx="3">
                  <c:v>105</c:v>
                </c:pt>
                <c:pt idx="4">
                  <c:v>112</c:v>
                </c:pt>
                <c:pt idx="5">
                  <c:v>130</c:v>
                </c:pt>
                <c:pt idx="6">
                  <c:v>103</c:v>
                </c:pt>
                <c:pt idx="7">
                  <c:v>120</c:v>
                </c:pt>
                <c:pt idx="8">
                  <c:v>105</c:v>
                </c:pt>
                <c:pt idx="9">
                  <c:v>130</c:v>
                </c:pt>
                <c:pt idx="10">
                  <c:v>108</c:v>
                </c:pt>
                <c:pt idx="11">
                  <c:v>125</c:v>
                </c:pt>
                <c:pt idx="12">
                  <c:v>105</c:v>
                </c:pt>
                <c:pt idx="13">
                  <c:v>104</c:v>
                </c:pt>
                <c:pt idx="14">
                  <c:v>130</c:v>
                </c:pt>
                <c:pt idx="15">
                  <c:v>129</c:v>
                </c:pt>
                <c:pt idx="16">
                  <c:v>127</c:v>
                </c:pt>
                <c:pt idx="17">
                  <c:v>122</c:v>
                </c:pt>
                <c:pt idx="18">
                  <c:v>122</c:v>
                </c:pt>
                <c:pt idx="19">
                  <c:v>116</c:v>
                </c:pt>
                <c:pt idx="20">
                  <c:v>122</c:v>
                </c:pt>
                <c:pt idx="21">
                  <c:v>120</c:v>
                </c:pt>
                <c:pt idx="22">
                  <c:v>120</c:v>
                </c:pt>
                <c:pt idx="23">
                  <c:v>130</c:v>
                </c:pt>
                <c:pt idx="24">
                  <c:v>130</c:v>
                </c:pt>
                <c:pt idx="25">
                  <c:v>130</c:v>
                </c:pt>
                <c:pt idx="26">
                  <c:v>122</c:v>
                </c:pt>
                <c:pt idx="27">
                  <c:v>120</c:v>
                </c:pt>
                <c:pt idx="28">
                  <c:v>120</c:v>
                </c:pt>
                <c:pt idx="29">
                  <c:v>103</c:v>
                </c:pt>
                <c:pt idx="30">
                  <c:v>120</c:v>
                </c:pt>
                <c:pt idx="31">
                  <c:v>100</c:v>
                </c:pt>
                <c:pt idx="32">
                  <c:v>100</c:v>
                </c:pt>
                <c:pt idx="33">
                  <c:v>127</c:v>
                </c:pt>
                <c:pt idx="34">
                  <c:v>104</c:v>
                </c:pt>
                <c:pt idx="35">
                  <c:v>126</c:v>
                </c:pt>
                <c:pt idx="36">
                  <c:v>120</c:v>
                </c:pt>
                <c:pt idx="37">
                  <c:v>124</c:v>
                </c:pt>
                <c:pt idx="38">
                  <c:v>130</c:v>
                </c:pt>
                <c:pt idx="39">
                  <c:v>112</c:v>
                </c:pt>
                <c:pt idx="40">
                  <c:v>105</c:v>
                </c:pt>
                <c:pt idx="41">
                  <c:v>115</c:v>
                </c:pt>
                <c:pt idx="42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C-47A9-A003-0DF05A208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21487"/>
        <c:axId val="1661115727"/>
      </c:scatterChart>
      <c:valAx>
        <c:axId val="166112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15727"/>
        <c:crosses val="autoZero"/>
        <c:crossBetween val="midCat"/>
      </c:valAx>
      <c:valAx>
        <c:axId val="16611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2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advert_summaryzzz!$D$1</c:f>
              <c:strCache>
                <c:ptCount val="1"/>
                <c:pt idx="0">
                  <c:v>elapsed_days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advert_summaryzzz!$D$2:$D$44</c:f>
              <c:numCache>
                <c:formatCode>General</c:formatCode>
                <c:ptCount val="43"/>
                <c:pt idx="0">
                  <c:v>49</c:v>
                </c:pt>
                <c:pt idx="1">
                  <c:v>19</c:v>
                </c:pt>
                <c:pt idx="2">
                  <c:v>49</c:v>
                </c:pt>
                <c:pt idx="3">
                  <c:v>26</c:v>
                </c:pt>
                <c:pt idx="4">
                  <c:v>49</c:v>
                </c:pt>
                <c:pt idx="5">
                  <c:v>49</c:v>
                </c:pt>
                <c:pt idx="6">
                  <c:v>16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5</c:v>
                </c:pt>
                <c:pt idx="11">
                  <c:v>49</c:v>
                </c:pt>
                <c:pt idx="12">
                  <c:v>19</c:v>
                </c:pt>
                <c:pt idx="13">
                  <c:v>49</c:v>
                </c:pt>
                <c:pt idx="14">
                  <c:v>6</c:v>
                </c:pt>
                <c:pt idx="15">
                  <c:v>44</c:v>
                </c:pt>
                <c:pt idx="16">
                  <c:v>26</c:v>
                </c:pt>
                <c:pt idx="17">
                  <c:v>44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44</c:v>
                </c:pt>
                <c:pt idx="24">
                  <c:v>49</c:v>
                </c:pt>
                <c:pt idx="25">
                  <c:v>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30</c:v>
                </c:pt>
                <c:pt idx="30">
                  <c:v>26</c:v>
                </c:pt>
                <c:pt idx="31">
                  <c:v>16</c:v>
                </c:pt>
                <c:pt idx="32">
                  <c:v>26</c:v>
                </c:pt>
                <c:pt idx="33">
                  <c:v>16</c:v>
                </c:pt>
                <c:pt idx="34">
                  <c:v>16</c:v>
                </c:pt>
                <c:pt idx="35">
                  <c:v>7</c:v>
                </c:pt>
                <c:pt idx="36">
                  <c:v>7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2-4A14-8773-8BCBE79C4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17167"/>
        <c:axId val="1661119087"/>
      </c:scatterChart>
      <c:valAx>
        <c:axId val="166111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19087"/>
        <c:crosses val="autoZero"/>
        <c:crossBetween val="midCat"/>
      </c:valAx>
      <c:valAx>
        <c:axId val="16611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1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advert_summaryzzz!$D$1</c:f>
              <c:strCache>
                <c:ptCount val="1"/>
                <c:pt idx="0">
                  <c:v>elapsed_days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advert_summaryzzz!$C$2:$C$44</c:f>
              <c:numCache>
                <c:formatCode>m/d/yyyy</c:formatCode>
                <c:ptCount val="43"/>
                <c:pt idx="0">
                  <c:v>45653</c:v>
                </c:pt>
                <c:pt idx="1">
                  <c:v>45653</c:v>
                </c:pt>
                <c:pt idx="2">
                  <c:v>45653</c:v>
                </c:pt>
                <c:pt idx="3">
                  <c:v>45653</c:v>
                </c:pt>
                <c:pt idx="4">
                  <c:v>45653</c:v>
                </c:pt>
                <c:pt idx="5">
                  <c:v>45653</c:v>
                </c:pt>
                <c:pt idx="6">
                  <c:v>45653</c:v>
                </c:pt>
                <c:pt idx="7">
                  <c:v>45653</c:v>
                </c:pt>
                <c:pt idx="8">
                  <c:v>45653</c:v>
                </c:pt>
                <c:pt idx="9">
                  <c:v>45653</c:v>
                </c:pt>
                <c:pt idx="10">
                  <c:v>45653</c:v>
                </c:pt>
                <c:pt idx="11">
                  <c:v>45653</c:v>
                </c:pt>
                <c:pt idx="12">
                  <c:v>45653</c:v>
                </c:pt>
                <c:pt idx="13">
                  <c:v>45653</c:v>
                </c:pt>
                <c:pt idx="14">
                  <c:v>45653</c:v>
                </c:pt>
                <c:pt idx="15">
                  <c:v>45653</c:v>
                </c:pt>
                <c:pt idx="16">
                  <c:v>45653</c:v>
                </c:pt>
                <c:pt idx="17">
                  <c:v>45653</c:v>
                </c:pt>
                <c:pt idx="18">
                  <c:v>45653</c:v>
                </c:pt>
                <c:pt idx="19">
                  <c:v>45653</c:v>
                </c:pt>
                <c:pt idx="20">
                  <c:v>45653</c:v>
                </c:pt>
                <c:pt idx="21">
                  <c:v>45653</c:v>
                </c:pt>
                <c:pt idx="22">
                  <c:v>45653</c:v>
                </c:pt>
                <c:pt idx="23">
                  <c:v>45653</c:v>
                </c:pt>
                <c:pt idx="24">
                  <c:v>45653</c:v>
                </c:pt>
                <c:pt idx="25">
                  <c:v>45653</c:v>
                </c:pt>
                <c:pt idx="26">
                  <c:v>45653</c:v>
                </c:pt>
                <c:pt idx="27">
                  <c:v>45653</c:v>
                </c:pt>
                <c:pt idx="28">
                  <c:v>45653</c:v>
                </c:pt>
                <c:pt idx="29">
                  <c:v>45673</c:v>
                </c:pt>
                <c:pt idx="30">
                  <c:v>45677</c:v>
                </c:pt>
                <c:pt idx="31">
                  <c:v>45677</c:v>
                </c:pt>
                <c:pt idx="32">
                  <c:v>45677</c:v>
                </c:pt>
                <c:pt idx="33">
                  <c:v>45687</c:v>
                </c:pt>
                <c:pt idx="34">
                  <c:v>45687</c:v>
                </c:pt>
                <c:pt idx="35">
                  <c:v>45696</c:v>
                </c:pt>
                <c:pt idx="36">
                  <c:v>45696</c:v>
                </c:pt>
                <c:pt idx="37">
                  <c:v>45696</c:v>
                </c:pt>
                <c:pt idx="38">
                  <c:v>45696</c:v>
                </c:pt>
                <c:pt idx="39">
                  <c:v>45698</c:v>
                </c:pt>
                <c:pt idx="40">
                  <c:v>45703</c:v>
                </c:pt>
                <c:pt idx="41">
                  <c:v>45703</c:v>
                </c:pt>
                <c:pt idx="42">
                  <c:v>45703</c:v>
                </c:pt>
              </c:numCache>
            </c:numRef>
          </c:xVal>
          <c:yVal>
            <c:numRef>
              <c:f>advert_summaryzzz!$D$2:$D$44</c:f>
              <c:numCache>
                <c:formatCode>General</c:formatCode>
                <c:ptCount val="43"/>
                <c:pt idx="0">
                  <c:v>49</c:v>
                </c:pt>
                <c:pt idx="1">
                  <c:v>19</c:v>
                </c:pt>
                <c:pt idx="2">
                  <c:v>49</c:v>
                </c:pt>
                <c:pt idx="3">
                  <c:v>26</c:v>
                </c:pt>
                <c:pt idx="4">
                  <c:v>49</c:v>
                </c:pt>
                <c:pt idx="5">
                  <c:v>49</c:v>
                </c:pt>
                <c:pt idx="6">
                  <c:v>16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5</c:v>
                </c:pt>
                <c:pt idx="11">
                  <c:v>49</c:v>
                </c:pt>
                <c:pt idx="12">
                  <c:v>19</c:v>
                </c:pt>
                <c:pt idx="13">
                  <c:v>49</c:v>
                </c:pt>
                <c:pt idx="14">
                  <c:v>6</c:v>
                </c:pt>
                <c:pt idx="15">
                  <c:v>44</c:v>
                </c:pt>
                <c:pt idx="16">
                  <c:v>26</c:v>
                </c:pt>
                <c:pt idx="17">
                  <c:v>44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44</c:v>
                </c:pt>
                <c:pt idx="24">
                  <c:v>49</c:v>
                </c:pt>
                <c:pt idx="25">
                  <c:v>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30</c:v>
                </c:pt>
                <c:pt idx="30">
                  <c:v>26</c:v>
                </c:pt>
                <c:pt idx="31">
                  <c:v>16</c:v>
                </c:pt>
                <c:pt idx="32">
                  <c:v>26</c:v>
                </c:pt>
                <c:pt idx="33">
                  <c:v>16</c:v>
                </c:pt>
                <c:pt idx="34">
                  <c:v>16</c:v>
                </c:pt>
                <c:pt idx="35">
                  <c:v>7</c:v>
                </c:pt>
                <c:pt idx="36">
                  <c:v>7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0-49FE-A546-CCB8AEECC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09007"/>
        <c:axId val="328153855"/>
      </c:scatterChart>
      <c:valAx>
        <c:axId val="16611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53855"/>
        <c:crosses val="autoZero"/>
        <c:crossBetween val="midCat"/>
      </c:valAx>
      <c:valAx>
        <c:axId val="32815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0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advert_summaryzzz!$A$2:$A$44</c:f>
              <c:numCache>
                <c:formatCode>General</c:formatCode>
                <c:ptCount val="43"/>
                <c:pt idx="0">
                  <c:v>34378761</c:v>
                </c:pt>
                <c:pt idx="1">
                  <c:v>34144137</c:v>
                </c:pt>
                <c:pt idx="2">
                  <c:v>34090899</c:v>
                </c:pt>
                <c:pt idx="3">
                  <c:v>33484732</c:v>
                </c:pt>
                <c:pt idx="4">
                  <c:v>34378786</c:v>
                </c:pt>
                <c:pt idx="5">
                  <c:v>34335453</c:v>
                </c:pt>
                <c:pt idx="6">
                  <c:v>34509222</c:v>
                </c:pt>
                <c:pt idx="7">
                  <c:v>33412443</c:v>
                </c:pt>
                <c:pt idx="8">
                  <c:v>33810693</c:v>
                </c:pt>
                <c:pt idx="9">
                  <c:v>33643923</c:v>
                </c:pt>
                <c:pt idx="10">
                  <c:v>33085862</c:v>
                </c:pt>
                <c:pt idx="11">
                  <c:v>34216971</c:v>
                </c:pt>
                <c:pt idx="12">
                  <c:v>34385800</c:v>
                </c:pt>
                <c:pt idx="13">
                  <c:v>34333588</c:v>
                </c:pt>
                <c:pt idx="14">
                  <c:v>34419123</c:v>
                </c:pt>
                <c:pt idx="15">
                  <c:v>34497250</c:v>
                </c:pt>
                <c:pt idx="16">
                  <c:v>34511721</c:v>
                </c:pt>
                <c:pt idx="17">
                  <c:v>34002024</c:v>
                </c:pt>
                <c:pt idx="18">
                  <c:v>34025501</c:v>
                </c:pt>
                <c:pt idx="19">
                  <c:v>33973446</c:v>
                </c:pt>
                <c:pt idx="20">
                  <c:v>34025397</c:v>
                </c:pt>
                <c:pt idx="21">
                  <c:v>34496580</c:v>
                </c:pt>
                <c:pt idx="22">
                  <c:v>32687768</c:v>
                </c:pt>
                <c:pt idx="23">
                  <c:v>34366994</c:v>
                </c:pt>
                <c:pt idx="24">
                  <c:v>34227039</c:v>
                </c:pt>
                <c:pt idx="25">
                  <c:v>34194794</c:v>
                </c:pt>
                <c:pt idx="26">
                  <c:v>34445329</c:v>
                </c:pt>
                <c:pt idx="27">
                  <c:v>33920599</c:v>
                </c:pt>
                <c:pt idx="28">
                  <c:v>33127761</c:v>
                </c:pt>
                <c:pt idx="29">
                  <c:v>34538165</c:v>
                </c:pt>
                <c:pt idx="30">
                  <c:v>34017384</c:v>
                </c:pt>
                <c:pt idx="31">
                  <c:v>34017099</c:v>
                </c:pt>
                <c:pt idx="32">
                  <c:v>34543570</c:v>
                </c:pt>
                <c:pt idx="33">
                  <c:v>34565624</c:v>
                </c:pt>
                <c:pt idx="34">
                  <c:v>34562064</c:v>
                </c:pt>
                <c:pt idx="35">
                  <c:v>34537887</c:v>
                </c:pt>
                <c:pt idx="36">
                  <c:v>34576978</c:v>
                </c:pt>
                <c:pt idx="37">
                  <c:v>34258112</c:v>
                </c:pt>
                <c:pt idx="38">
                  <c:v>33898265</c:v>
                </c:pt>
                <c:pt idx="39">
                  <c:v>34588885</c:v>
                </c:pt>
                <c:pt idx="40">
                  <c:v>34596580</c:v>
                </c:pt>
                <c:pt idx="41">
                  <c:v>34594773</c:v>
                </c:pt>
                <c:pt idx="42">
                  <c:v>34594638</c:v>
                </c:pt>
              </c:numCache>
            </c:numRef>
          </c:xVal>
          <c:yVal>
            <c:numRef>
              <c:f>advert_summaryzzz!$I$2:$I$44</c:f>
              <c:numCache>
                <c:formatCode>General</c:formatCode>
                <c:ptCount val="43"/>
                <c:pt idx="0">
                  <c:v>1.60625</c:v>
                </c:pt>
                <c:pt idx="1">
                  <c:v>1.5684210526315789</c:v>
                </c:pt>
                <c:pt idx="2">
                  <c:v>1.290983606557377</c:v>
                </c:pt>
                <c:pt idx="3">
                  <c:v>1.75</c:v>
                </c:pt>
                <c:pt idx="4">
                  <c:v>1.7848214285714286</c:v>
                </c:pt>
                <c:pt idx="5">
                  <c:v>1.4607692307692308</c:v>
                </c:pt>
                <c:pt idx="6">
                  <c:v>1.8349514563106797</c:v>
                </c:pt>
                <c:pt idx="7">
                  <c:v>1.5</c:v>
                </c:pt>
                <c:pt idx="8">
                  <c:v>1.7333333333333334</c:v>
                </c:pt>
                <c:pt idx="9">
                  <c:v>1.7538461538461538</c:v>
                </c:pt>
                <c:pt idx="10">
                  <c:v>1.4351851851851851</c:v>
                </c:pt>
                <c:pt idx="11">
                  <c:v>1.36</c:v>
                </c:pt>
                <c:pt idx="12">
                  <c:v>1.7133333333333334</c:v>
                </c:pt>
                <c:pt idx="13">
                  <c:v>1.8173076923076923</c:v>
                </c:pt>
                <c:pt idx="14">
                  <c:v>2.0692307692307694</c:v>
                </c:pt>
                <c:pt idx="15">
                  <c:v>1.4263565891472869</c:v>
                </c:pt>
                <c:pt idx="16">
                  <c:v>1.9291338582677164</c:v>
                </c:pt>
                <c:pt idx="17">
                  <c:v>2.1721311475409837</c:v>
                </c:pt>
                <c:pt idx="18">
                  <c:v>2.1721311475409837</c:v>
                </c:pt>
                <c:pt idx="19">
                  <c:v>2.2844827586206895</c:v>
                </c:pt>
                <c:pt idx="20">
                  <c:v>2.1721311475409837</c:v>
                </c:pt>
                <c:pt idx="21">
                  <c:v>1.3749166666666668</c:v>
                </c:pt>
                <c:pt idx="22">
                  <c:v>1.5</c:v>
                </c:pt>
                <c:pt idx="23">
                  <c:v>2.0361538461538462</c:v>
                </c:pt>
                <c:pt idx="24">
                  <c:v>1.6846153846153846</c:v>
                </c:pt>
                <c:pt idx="25">
                  <c:v>1.4992307692307694</c:v>
                </c:pt>
                <c:pt idx="26">
                  <c:v>2.1696721311475411</c:v>
                </c:pt>
                <c:pt idx="27">
                  <c:v>1.4166666666666667</c:v>
                </c:pt>
                <c:pt idx="28">
                  <c:v>1.7333333333333334</c:v>
                </c:pt>
                <c:pt idx="29">
                  <c:v>1.8349514563106797</c:v>
                </c:pt>
                <c:pt idx="30">
                  <c:v>2.2916666666666665</c:v>
                </c:pt>
                <c:pt idx="31">
                  <c:v>1.69</c:v>
                </c:pt>
                <c:pt idx="32">
                  <c:v>1.399</c:v>
                </c:pt>
                <c:pt idx="33">
                  <c:v>1.8102362204724409</c:v>
                </c:pt>
                <c:pt idx="34">
                  <c:v>1.8461538461538463</c:v>
                </c:pt>
                <c:pt idx="35">
                  <c:v>1.8611111111111112</c:v>
                </c:pt>
                <c:pt idx="36">
                  <c:v>1.5825</c:v>
                </c:pt>
                <c:pt idx="37">
                  <c:v>2.25</c:v>
                </c:pt>
                <c:pt idx="38">
                  <c:v>1.9153846153846155</c:v>
                </c:pt>
                <c:pt idx="39">
                  <c:v>1.5982142857142858</c:v>
                </c:pt>
                <c:pt idx="40">
                  <c:v>1.75</c:v>
                </c:pt>
                <c:pt idx="41">
                  <c:v>1.6513043478260869</c:v>
                </c:pt>
                <c:pt idx="42">
                  <c:v>1.6513043478260869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D-4DC7-BCB8-4F54E000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23791"/>
        <c:axId val="450835311"/>
      </c:scatterChart>
      <c:valAx>
        <c:axId val="45082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35311"/>
        <c:crosses val="autoZero"/>
        <c:crossBetween val="midCat"/>
      </c:valAx>
      <c:valAx>
        <c:axId val="4508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2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advert_summaryzzz!$I$1</c:f>
              <c:strCache>
                <c:ptCount val="1"/>
                <c:pt idx="0">
                  <c:v>area 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advert_summaryzzz!$G$2:$G$44</c:f>
              <c:numCache>
                <c:formatCode>General</c:formatCode>
                <c:ptCount val="43"/>
                <c:pt idx="0">
                  <c:v>112</c:v>
                </c:pt>
                <c:pt idx="1">
                  <c:v>95</c:v>
                </c:pt>
                <c:pt idx="2">
                  <c:v>122</c:v>
                </c:pt>
                <c:pt idx="3">
                  <c:v>105</c:v>
                </c:pt>
                <c:pt idx="4">
                  <c:v>112</c:v>
                </c:pt>
                <c:pt idx="5">
                  <c:v>130</c:v>
                </c:pt>
                <c:pt idx="6">
                  <c:v>103</c:v>
                </c:pt>
                <c:pt idx="7">
                  <c:v>120</c:v>
                </c:pt>
                <c:pt idx="8">
                  <c:v>105</c:v>
                </c:pt>
                <c:pt idx="9">
                  <c:v>130</c:v>
                </c:pt>
                <c:pt idx="10">
                  <c:v>108</c:v>
                </c:pt>
                <c:pt idx="11">
                  <c:v>125</c:v>
                </c:pt>
                <c:pt idx="12">
                  <c:v>105</c:v>
                </c:pt>
                <c:pt idx="13">
                  <c:v>104</c:v>
                </c:pt>
                <c:pt idx="14">
                  <c:v>130</c:v>
                </c:pt>
                <c:pt idx="15">
                  <c:v>129</c:v>
                </c:pt>
                <c:pt idx="16">
                  <c:v>127</c:v>
                </c:pt>
                <c:pt idx="17">
                  <c:v>122</c:v>
                </c:pt>
                <c:pt idx="18">
                  <c:v>122</c:v>
                </c:pt>
                <c:pt idx="19">
                  <c:v>116</c:v>
                </c:pt>
                <c:pt idx="20">
                  <c:v>122</c:v>
                </c:pt>
                <c:pt idx="21">
                  <c:v>120</c:v>
                </c:pt>
                <c:pt idx="22">
                  <c:v>120</c:v>
                </c:pt>
                <c:pt idx="23">
                  <c:v>130</c:v>
                </c:pt>
                <c:pt idx="24">
                  <c:v>130</c:v>
                </c:pt>
                <c:pt idx="25">
                  <c:v>130</c:v>
                </c:pt>
                <c:pt idx="26">
                  <c:v>122</c:v>
                </c:pt>
                <c:pt idx="27">
                  <c:v>120</c:v>
                </c:pt>
                <c:pt idx="28">
                  <c:v>120</c:v>
                </c:pt>
                <c:pt idx="29">
                  <c:v>103</c:v>
                </c:pt>
                <c:pt idx="30">
                  <c:v>120</c:v>
                </c:pt>
                <c:pt idx="31">
                  <c:v>100</c:v>
                </c:pt>
                <c:pt idx="32">
                  <c:v>100</c:v>
                </c:pt>
                <c:pt idx="33">
                  <c:v>127</c:v>
                </c:pt>
                <c:pt idx="34">
                  <c:v>104</c:v>
                </c:pt>
                <c:pt idx="35">
                  <c:v>126</c:v>
                </c:pt>
                <c:pt idx="36">
                  <c:v>120</c:v>
                </c:pt>
                <c:pt idx="37">
                  <c:v>124</c:v>
                </c:pt>
                <c:pt idx="38">
                  <c:v>130</c:v>
                </c:pt>
                <c:pt idx="39">
                  <c:v>112</c:v>
                </c:pt>
                <c:pt idx="40">
                  <c:v>105</c:v>
                </c:pt>
                <c:pt idx="41">
                  <c:v>115</c:v>
                </c:pt>
                <c:pt idx="42">
                  <c:v>115</c:v>
                </c:pt>
              </c:numCache>
            </c:numRef>
          </c:xVal>
          <c:yVal>
            <c:numRef>
              <c:f>advert_summaryzzz!$I$2:$I$44</c:f>
              <c:numCache>
                <c:formatCode>General</c:formatCode>
                <c:ptCount val="43"/>
                <c:pt idx="0">
                  <c:v>1.60625</c:v>
                </c:pt>
                <c:pt idx="1">
                  <c:v>1.5684210526315789</c:v>
                </c:pt>
                <c:pt idx="2">
                  <c:v>1.290983606557377</c:v>
                </c:pt>
                <c:pt idx="3">
                  <c:v>1.75</c:v>
                </c:pt>
                <c:pt idx="4">
                  <c:v>1.7848214285714286</c:v>
                </c:pt>
                <c:pt idx="5">
                  <c:v>1.4607692307692308</c:v>
                </c:pt>
                <c:pt idx="6">
                  <c:v>1.8349514563106797</c:v>
                </c:pt>
                <c:pt idx="7">
                  <c:v>1.5</c:v>
                </c:pt>
                <c:pt idx="8">
                  <c:v>1.7333333333333334</c:v>
                </c:pt>
                <c:pt idx="9">
                  <c:v>1.7538461538461538</c:v>
                </c:pt>
                <c:pt idx="10">
                  <c:v>1.4351851851851851</c:v>
                </c:pt>
                <c:pt idx="11">
                  <c:v>1.36</c:v>
                </c:pt>
                <c:pt idx="12">
                  <c:v>1.7133333333333334</c:v>
                </c:pt>
                <c:pt idx="13">
                  <c:v>1.8173076923076923</c:v>
                </c:pt>
                <c:pt idx="14">
                  <c:v>2.0692307692307694</c:v>
                </c:pt>
                <c:pt idx="15">
                  <c:v>1.4263565891472869</c:v>
                </c:pt>
                <c:pt idx="16">
                  <c:v>1.9291338582677164</c:v>
                </c:pt>
                <c:pt idx="17">
                  <c:v>2.1721311475409837</c:v>
                </c:pt>
                <c:pt idx="18">
                  <c:v>2.1721311475409837</c:v>
                </c:pt>
                <c:pt idx="19">
                  <c:v>2.2844827586206895</c:v>
                </c:pt>
                <c:pt idx="20">
                  <c:v>2.1721311475409837</c:v>
                </c:pt>
                <c:pt idx="21">
                  <c:v>1.3749166666666668</c:v>
                </c:pt>
                <c:pt idx="22">
                  <c:v>1.5</c:v>
                </c:pt>
                <c:pt idx="23">
                  <c:v>2.0361538461538462</c:v>
                </c:pt>
                <c:pt idx="24">
                  <c:v>1.6846153846153846</c:v>
                </c:pt>
                <c:pt idx="25">
                  <c:v>1.4992307692307694</c:v>
                </c:pt>
                <c:pt idx="26">
                  <c:v>2.1696721311475411</c:v>
                </c:pt>
                <c:pt idx="27">
                  <c:v>1.4166666666666667</c:v>
                </c:pt>
                <c:pt idx="28">
                  <c:v>1.7333333333333334</c:v>
                </c:pt>
                <c:pt idx="29">
                  <c:v>1.8349514563106797</c:v>
                </c:pt>
                <c:pt idx="30">
                  <c:v>2.2916666666666665</c:v>
                </c:pt>
                <c:pt idx="31">
                  <c:v>1.69</c:v>
                </c:pt>
                <c:pt idx="32">
                  <c:v>1.399</c:v>
                </c:pt>
                <c:pt idx="33">
                  <c:v>1.8102362204724409</c:v>
                </c:pt>
                <c:pt idx="34">
                  <c:v>1.8461538461538463</c:v>
                </c:pt>
                <c:pt idx="35">
                  <c:v>1.8611111111111112</c:v>
                </c:pt>
                <c:pt idx="36">
                  <c:v>1.5825</c:v>
                </c:pt>
                <c:pt idx="37">
                  <c:v>2.25</c:v>
                </c:pt>
                <c:pt idx="38">
                  <c:v>1.9153846153846155</c:v>
                </c:pt>
                <c:pt idx="39">
                  <c:v>1.5982142857142858</c:v>
                </c:pt>
                <c:pt idx="40">
                  <c:v>1.75</c:v>
                </c:pt>
                <c:pt idx="41">
                  <c:v>1.6513043478260869</c:v>
                </c:pt>
                <c:pt idx="42">
                  <c:v>1.6513043478260869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E-4FBE-A058-341549682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027183"/>
        <c:axId val="373028623"/>
      </c:scatterChart>
      <c:valAx>
        <c:axId val="37302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28623"/>
        <c:crosses val="autoZero"/>
        <c:crossBetween val="midCat"/>
      </c:valAx>
      <c:valAx>
        <c:axId val="3730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2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11</xdr:row>
      <xdr:rowOff>52387</xdr:rowOff>
    </xdr:from>
    <xdr:to>
      <xdr:col>17</xdr:col>
      <xdr:colOff>352425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0D34A-87B6-D014-9068-6197E984E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514350</xdr:colOff>
      <xdr:row>11</xdr:row>
      <xdr:rowOff>23812</xdr:rowOff>
    </xdr:from>
    <xdr:to>
      <xdr:col>25</xdr:col>
      <xdr:colOff>209550</xdr:colOff>
      <xdr:row>25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51DAD-D60A-53F1-2035-8D90493B7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600075</xdr:colOff>
      <xdr:row>26</xdr:row>
      <xdr:rowOff>176212</xdr:rowOff>
    </xdr:from>
    <xdr:to>
      <xdr:col>25</xdr:col>
      <xdr:colOff>295275</xdr:colOff>
      <xdr:row>41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01AD43-C929-F84E-EE7A-0DA135450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214312</xdr:colOff>
      <xdr:row>30</xdr:row>
      <xdr:rowOff>80962</xdr:rowOff>
    </xdr:from>
    <xdr:to>
      <xdr:col>17</xdr:col>
      <xdr:colOff>519112</xdr:colOff>
      <xdr:row>44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B482BF-9FEE-BAC2-39AA-A790588F4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147637</xdr:colOff>
      <xdr:row>42</xdr:row>
      <xdr:rowOff>61912</xdr:rowOff>
    </xdr:from>
    <xdr:to>
      <xdr:col>25</xdr:col>
      <xdr:colOff>452437</xdr:colOff>
      <xdr:row>56</xdr:row>
      <xdr:rowOff>138112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078F46-1399-C7DD-E8D6-D532E352F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E457-6F68-42B7-A2ED-117F233B5029}">
  <dimension ref="A1:J44"/>
  <sheetViews>
    <sheetView tabSelected="1" topLeftCell="D13" zoomScaleNormal="100" workbookViewId="0">
      <selection activeCell="AA36" sqref="AA36"/>
    </sheetView>
  </sheetViews>
  <sheetFormatPr defaultRowHeight="15" x14ac:dyDescent="0.25"/>
  <cols>
    <col min="3" max="3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</v>
      </c>
      <c r="J1" t="s">
        <v>0</v>
      </c>
    </row>
    <row r="2" spans="1:10" x14ac:dyDescent="0.25">
      <c r="A2">
        <v>34378761</v>
      </c>
      <c r="B2" t="s">
        <v>8</v>
      </c>
      <c r="C2" s="1">
        <v>45653</v>
      </c>
      <c r="D2">
        <v>49</v>
      </c>
      <c r="E2">
        <v>179.9</v>
      </c>
      <c r="F2">
        <v>179.9</v>
      </c>
      <c r="G2">
        <v>112</v>
      </c>
      <c r="H2">
        <v>5</v>
      </c>
      <c r="I2">
        <f>F2/G2</f>
        <v>1.60625</v>
      </c>
      <c r="J2">
        <v>34378761</v>
      </c>
    </row>
    <row r="3" spans="1:10" x14ac:dyDescent="0.25">
      <c r="A3">
        <v>34144137</v>
      </c>
      <c r="B3" t="s">
        <v>9</v>
      </c>
      <c r="C3" s="1">
        <v>45653</v>
      </c>
      <c r="D3">
        <v>19</v>
      </c>
      <c r="E3">
        <v>149</v>
      </c>
      <c r="F3">
        <v>149</v>
      </c>
      <c r="G3">
        <v>95</v>
      </c>
      <c r="H3">
        <v>3.5</v>
      </c>
      <c r="I3">
        <f t="shared" ref="I3:I44" si="0">F3/G3</f>
        <v>1.5684210526315789</v>
      </c>
      <c r="J3">
        <v>34144137</v>
      </c>
    </row>
    <row r="4" spans="1:10" x14ac:dyDescent="0.25">
      <c r="A4">
        <v>34090899</v>
      </c>
      <c r="B4" t="s">
        <v>10</v>
      </c>
      <c r="C4" s="1">
        <v>45653</v>
      </c>
      <c r="D4">
        <v>49</v>
      </c>
      <c r="E4">
        <v>157.5</v>
      </c>
      <c r="F4">
        <v>157.5</v>
      </c>
      <c r="G4">
        <v>122</v>
      </c>
      <c r="H4">
        <v>4</v>
      </c>
      <c r="I4">
        <f t="shared" si="0"/>
        <v>1.290983606557377</v>
      </c>
      <c r="J4">
        <v>34090899</v>
      </c>
    </row>
    <row r="5" spans="1:10" x14ac:dyDescent="0.25">
      <c r="A5">
        <v>33484732</v>
      </c>
      <c r="B5" t="s">
        <v>9</v>
      </c>
      <c r="C5" s="1">
        <v>45653</v>
      </c>
      <c r="D5">
        <v>26</v>
      </c>
      <c r="E5">
        <v>183.75</v>
      </c>
      <c r="F5">
        <v>183.75</v>
      </c>
      <c r="G5">
        <v>105</v>
      </c>
      <c r="H5">
        <v>4</v>
      </c>
      <c r="I5">
        <f t="shared" si="0"/>
        <v>1.75</v>
      </c>
      <c r="J5">
        <v>33484732</v>
      </c>
    </row>
    <row r="6" spans="1:10" x14ac:dyDescent="0.25">
      <c r="A6">
        <v>34378786</v>
      </c>
      <c r="B6" t="s">
        <v>8</v>
      </c>
      <c r="C6" s="1">
        <v>45653</v>
      </c>
      <c r="D6">
        <v>49</v>
      </c>
      <c r="E6">
        <v>199.9</v>
      </c>
      <c r="F6">
        <v>199.9</v>
      </c>
      <c r="G6">
        <v>112</v>
      </c>
      <c r="H6">
        <v>5</v>
      </c>
      <c r="I6">
        <f t="shared" si="0"/>
        <v>1.7848214285714286</v>
      </c>
      <c r="J6">
        <v>34378786</v>
      </c>
    </row>
    <row r="7" spans="1:10" x14ac:dyDescent="0.25">
      <c r="A7">
        <v>34335453</v>
      </c>
      <c r="B7" t="s">
        <v>11</v>
      </c>
      <c r="C7" s="1">
        <v>45653</v>
      </c>
      <c r="D7">
        <v>49</v>
      </c>
      <c r="E7">
        <v>189.9</v>
      </c>
      <c r="F7">
        <v>189.9</v>
      </c>
      <c r="G7">
        <v>130</v>
      </c>
      <c r="H7">
        <v>4</v>
      </c>
      <c r="I7">
        <f t="shared" si="0"/>
        <v>1.4607692307692308</v>
      </c>
      <c r="J7">
        <v>34335453</v>
      </c>
    </row>
    <row r="8" spans="1:10" x14ac:dyDescent="0.25">
      <c r="A8">
        <v>34509222</v>
      </c>
      <c r="B8" t="s">
        <v>11</v>
      </c>
      <c r="C8" s="1">
        <v>45653</v>
      </c>
      <c r="D8">
        <v>16</v>
      </c>
      <c r="E8">
        <v>189</v>
      </c>
      <c r="F8">
        <v>189</v>
      </c>
      <c r="G8">
        <v>103</v>
      </c>
      <c r="H8">
        <v>4</v>
      </c>
      <c r="I8">
        <f t="shared" si="0"/>
        <v>1.8349514563106797</v>
      </c>
      <c r="J8">
        <v>34509222</v>
      </c>
    </row>
    <row r="9" spans="1:10" x14ac:dyDescent="0.25">
      <c r="A9">
        <v>33412443</v>
      </c>
      <c r="B9" t="s">
        <v>12</v>
      </c>
      <c r="C9" s="1">
        <v>45653</v>
      </c>
      <c r="D9">
        <v>49</v>
      </c>
      <c r="E9">
        <v>168</v>
      </c>
      <c r="F9">
        <v>180</v>
      </c>
      <c r="G9">
        <v>120</v>
      </c>
      <c r="H9">
        <v>5</v>
      </c>
      <c r="I9">
        <f t="shared" si="0"/>
        <v>1.5</v>
      </c>
      <c r="J9">
        <v>33412443</v>
      </c>
    </row>
    <row r="10" spans="1:10" x14ac:dyDescent="0.25">
      <c r="A10">
        <v>33810693</v>
      </c>
      <c r="B10" t="s">
        <v>11</v>
      </c>
      <c r="C10" s="1">
        <v>45653</v>
      </c>
      <c r="D10">
        <v>49</v>
      </c>
      <c r="E10">
        <v>182</v>
      </c>
      <c r="F10">
        <v>182</v>
      </c>
      <c r="G10">
        <v>105</v>
      </c>
      <c r="H10">
        <v>5</v>
      </c>
      <c r="I10">
        <f t="shared" si="0"/>
        <v>1.7333333333333334</v>
      </c>
      <c r="J10">
        <v>33810693</v>
      </c>
    </row>
    <row r="11" spans="1:10" x14ac:dyDescent="0.25">
      <c r="A11">
        <v>33643923</v>
      </c>
      <c r="B11" t="s">
        <v>12</v>
      </c>
      <c r="C11" s="1">
        <v>45653</v>
      </c>
      <c r="D11">
        <v>49</v>
      </c>
      <c r="E11">
        <v>228</v>
      </c>
      <c r="F11">
        <v>228</v>
      </c>
      <c r="G11">
        <v>130</v>
      </c>
      <c r="H11">
        <v>5</v>
      </c>
      <c r="I11">
        <f t="shared" si="0"/>
        <v>1.7538461538461538</v>
      </c>
      <c r="J11">
        <v>33643923</v>
      </c>
    </row>
    <row r="12" spans="1:10" x14ac:dyDescent="0.25">
      <c r="A12">
        <v>33085862</v>
      </c>
      <c r="B12" t="s">
        <v>9</v>
      </c>
      <c r="C12" s="1">
        <v>45653</v>
      </c>
      <c r="D12">
        <v>5</v>
      </c>
      <c r="E12">
        <v>155</v>
      </c>
      <c r="F12">
        <v>155</v>
      </c>
      <c r="G12">
        <v>108</v>
      </c>
      <c r="H12">
        <v>4.5</v>
      </c>
      <c r="I12">
        <f t="shared" si="0"/>
        <v>1.4351851851851851</v>
      </c>
      <c r="J12">
        <v>33085862</v>
      </c>
    </row>
    <row r="13" spans="1:10" x14ac:dyDescent="0.25">
      <c r="A13">
        <v>34216971</v>
      </c>
      <c r="B13" t="s">
        <v>12</v>
      </c>
      <c r="C13" s="1">
        <v>45653</v>
      </c>
      <c r="D13">
        <v>49</v>
      </c>
      <c r="E13">
        <v>150</v>
      </c>
      <c r="F13">
        <v>170</v>
      </c>
      <c r="G13">
        <v>125</v>
      </c>
      <c r="H13">
        <v>4</v>
      </c>
      <c r="I13">
        <f t="shared" si="0"/>
        <v>1.36</v>
      </c>
      <c r="J13">
        <v>34216971</v>
      </c>
    </row>
    <row r="14" spans="1:10" x14ac:dyDescent="0.25">
      <c r="A14">
        <v>34385800</v>
      </c>
      <c r="B14" t="s">
        <v>9</v>
      </c>
      <c r="C14" s="1">
        <v>45653</v>
      </c>
      <c r="D14">
        <v>19</v>
      </c>
      <c r="E14">
        <v>179.9</v>
      </c>
      <c r="F14">
        <v>179.9</v>
      </c>
      <c r="G14">
        <v>105</v>
      </c>
      <c r="H14">
        <v>4</v>
      </c>
      <c r="I14">
        <f t="shared" si="0"/>
        <v>1.7133333333333334</v>
      </c>
      <c r="J14">
        <v>34385800</v>
      </c>
    </row>
    <row r="15" spans="1:10" x14ac:dyDescent="0.25">
      <c r="A15">
        <v>34333588</v>
      </c>
      <c r="B15" t="s">
        <v>13</v>
      </c>
      <c r="C15" s="1">
        <v>45653</v>
      </c>
      <c r="D15">
        <v>49</v>
      </c>
      <c r="E15">
        <v>189</v>
      </c>
      <c r="F15">
        <v>189</v>
      </c>
      <c r="G15">
        <v>104</v>
      </c>
      <c r="H15">
        <v>4</v>
      </c>
      <c r="I15">
        <f t="shared" si="0"/>
        <v>1.8173076923076923</v>
      </c>
      <c r="J15">
        <v>34333588</v>
      </c>
    </row>
    <row r="16" spans="1:10" x14ac:dyDescent="0.25">
      <c r="A16">
        <v>34419123</v>
      </c>
      <c r="B16" t="s">
        <v>12</v>
      </c>
      <c r="C16" s="1">
        <v>45653</v>
      </c>
      <c r="D16">
        <v>6</v>
      </c>
      <c r="E16">
        <v>269</v>
      </c>
      <c r="F16">
        <v>269</v>
      </c>
      <c r="G16">
        <v>130</v>
      </c>
      <c r="H16">
        <v>4</v>
      </c>
      <c r="I16">
        <f t="shared" si="0"/>
        <v>2.0692307692307694</v>
      </c>
      <c r="J16">
        <v>34419123</v>
      </c>
    </row>
    <row r="17" spans="1:10" x14ac:dyDescent="0.25">
      <c r="A17">
        <v>34497250</v>
      </c>
      <c r="B17" t="s">
        <v>14</v>
      </c>
      <c r="C17" s="1">
        <v>45653</v>
      </c>
      <c r="D17">
        <v>44</v>
      </c>
      <c r="E17">
        <v>184</v>
      </c>
      <c r="F17">
        <v>184</v>
      </c>
      <c r="G17">
        <v>129</v>
      </c>
      <c r="H17">
        <v>5</v>
      </c>
      <c r="I17">
        <f t="shared" si="0"/>
        <v>1.4263565891472869</v>
      </c>
      <c r="J17">
        <v>34497250</v>
      </c>
    </row>
    <row r="18" spans="1:10" x14ac:dyDescent="0.25">
      <c r="A18">
        <v>34511721</v>
      </c>
      <c r="B18" t="s">
        <v>11</v>
      </c>
      <c r="C18" s="1">
        <v>45653</v>
      </c>
      <c r="D18">
        <v>26</v>
      </c>
      <c r="E18">
        <v>245</v>
      </c>
      <c r="F18">
        <v>245</v>
      </c>
      <c r="G18">
        <v>127</v>
      </c>
      <c r="H18">
        <v>4</v>
      </c>
      <c r="I18">
        <f t="shared" si="0"/>
        <v>1.9291338582677164</v>
      </c>
      <c r="J18">
        <v>34511721</v>
      </c>
    </row>
    <row r="19" spans="1:10" x14ac:dyDescent="0.25">
      <c r="A19">
        <v>34002024</v>
      </c>
      <c r="B19" t="s">
        <v>15</v>
      </c>
      <c r="C19" s="1">
        <v>45653</v>
      </c>
      <c r="D19">
        <v>44</v>
      </c>
      <c r="E19">
        <v>265</v>
      </c>
      <c r="F19">
        <v>265</v>
      </c>
      <c r="G19">
        <v>122</v>
      </c>
      <c r="H19">
        <v>4</v>
      </c>
      <c r="I19">
        <f t="shared" si="0"/>
        <v>2.1721311475409837</v>
      </c>
      <c r="J19">
        <v>34002024</v>
      </c>
    </row>
    <row r="20" spans="1:10" x14ac:dyDescent="0.25">
      <c r="A20">
        <v>34025501</v>
      </c>
      <c r="B20" t="s">
        <v>16</v>
      </c>
      <c r="C20" s="1">
        <v>45653</v>
      </c>
      <c r="D20">
        <v>49</v>
      </c>
      <c r="E20">
        <v>265</v>
      </c>
      <c r="F20">
        <v>265</v>
      </c>
      <c r="G20">
        <v>122</v>
      </c>
      <c r="H20">
        <v>4</v>
      </c>
      <c r="I20">
        <f t="shared" si="0"/>
        <v>2.1721311475409837</v>
      </c>
      <c r="J20">
        <v>34025501</v>
      </c>
    </row>
    <row r="21" spans="1:10" x14ac:dyDescent="0.25">
      <c r="A21">
        <v>33973446</v>
      </c>
      <c r="B21" t="s">
        <v>15</v>
      </c>
      <c r="C21" s="1">
        <v>45653</v>
      </c>
      <c r="D21">
        <v>49</v>
      </c>
      <c r="E21">
        <v>265</v>
      </c>
      <c r="F21">
        <v>265</v>
      </c>
      <c r="G21">
        <v>116</v>
      </c>
      <c r="H21">
        <v>4</v>
      </c>
      <c r="I21">
        <f t="shared" si="0"/>
        <v>2.2844827586206895</v>
      </c>
      <c r="J21">
        <v>33973446</v>
      </c>
    </row>
    <row r="22" spans="1:10" x14ac:dyDescent="0.25">
      <c r="A22">
        <v>34025397</v>
      </c>
      <c r="B22" t="s">
        <v>16</v>
      </c>
      <c r="C22" s="1">
        <v>45653</v>
      </c>
      <c r="D22">
        <v>49</v>
      </c>
      <c r="E22">
        <v>265</v>
      </c>
      <c r="F22">
        <v>265</v>
      </c>
      <c r="G22">
        <v>122</v>
      </c>
      <c r="H22">
        <v>4</v>
      </c>
      <c r="I22">
        <f t="shared" si="0"/>
        <v>2.1721311475409837</v>
      </c>
      <c r="J22">
        <v>34025397</v>
      </c>
    </row>
    <row r="23" spans="1:10" x14ac:dyDescent="0.25">
      <c r="A23">
        <v>34496580</v>
      </c>
      <c r="B23" t="s">
        <v>17</v>
      </c>
      <c r="C23" s="1">
        <v>45653</v>
      </c>
      <c r="D23">
        <v>49</v>
      </c>
      <c r="E23">
        <v>164.99</v>
      </c>
      <c r="F23">
        <v>164.99</v>
      </c>
      <c r="G23">
        <v>120</v>
      </c>
      <c r="H23">
        <v>5</v>
      </c>
      <c r="I23">
        <f t="shared" si="0"/>
        <v>1.3749166666666668</v>
      </c>
      <c r="J23">
        <v>34496580</v>
      </c>
    </row>
    <row r="24" spans="1:10" x14ac:dyDescent="0.25">
      <c r="A24">
        <v>32687768</v>
      </c>
      <c r="B24" t="s">
        <v>12</v>
      </c>
      <c r="C24" s="1">
        <v>45653</v>
      </c>
      <c r="D24">
        <v>49</v>
      </c>
      <c r="E24">
        <v>168</v>
      </c>
      <c r="F24">
        <v>180</v>
      </c>
      <c r="G24">
        <v>120</v>
      </c>
      <c r="H24">
        <v>4</v>
      </c>
      <c r="I24">
        <f t="shared" si="0"/>
        <v>1.5</v>
      </c>
      <c r="J24">
        <v>32687768</v>
      </c>
    </row>
    <row r="25" spans="1:10" x14ac:dyDescent="0.25">
      <c r="A25">
        <v>34366994</v>
      </c>
      <c r="B25" t="s">
        <v>15</v>
      </c>
      <c r="C25" s="1">
        <v>45653</v>
      </c>
      <c r="D25">
        <v>44</v>
      </c>
      <c r="E25">
        <v>265</v>
      </c>
      <c r="F25">
        <v>264.7</v>
      </c>
      <c r="G25">
        <v>130</v>
      </c>
      <c r="H25">
        <v>5.5</v>
      </c>
      <c r="I25">
        <f t="shared" si="0"/>
        <v>2.0361538461538462</v>
      </c>
      <c r="J25">
        <v>34366994</v>
      </c>
    </row>
    <row r="26" spans="1:10" x14ac:dyDescent="0.25">
      <c r="A26">
        <v>34227039</v>
      </c>
      <c r="B26" t="s">
        <v>18</v>
      </c>
      <c r="C26" s="1">
        <v>45653</v>
      </c>
      <c r="D26">
        <v>49</v>
      </c>
      <c r="E26">
        <v>219</v>
      </c>
      <c r="F26">
        <v>219</v>
      </c>
      <c r="G26">
        <v>130</v>
      </c>
      <c r="H26">
        <v>5.5</v>
      </c>
      <c r="I26">
        <f t="shared" si="0"/>
        <v>1.6846153846153846</v>
      </c>
      <c r="J26">
        <v>34227039</v>
      </c>
    </row>
    <row r="27" spans="1:10" x14ac:dyDescent="0.25">
      <c r="A27">
        <v>34194794</v>
      </c>
      <c r="B27" t="s">
        <v>19</v>
      </c>
      <c r="C27" s="1">
        <v>45653</v>
      </c>
      <c r="D27">
        <v>9</v>
      </c>
      <c r="E27">
        <v>194.9</v>
      </c>
      <c r="F27">
        <v>194.9</v>
      </c>
      <c r="G27">
        <v>130</v>
      </c>
      <c r="H27">
        <v>4</v>
      </c>
      <c r="I27">
        <f t="shared" si="0"/>
        <v>1.4992307692307694</v>
      </c>
      <c r="J27">
        <v>34194794</v>
      </c>
    </row>
    <row r="28" spans="1:10" x14ac:dyDescent="0.25">
      <c r="A28">
        <v>34445329</v>
      </c>
      <c r="B28" t="s">
        <v>15</v>
      </c>
      <c r="C28" s="1">
        <v>45653</v>
      </c>
      <c r="D28">
        <v>49</v>
      </c>
      <c r="E28">
        <v>264.7</v>
      </c>
      <c r="F28">
        <v>264.7</v>
      </c>
      <c r="G28">
        <v>122</v>
      </c>
      <c r="H28">
        <v>4</v>
      </c>
      <c r="I28">
        <f t="shared" si="0"/>
        <v>2.1696721311475411</v>
      </c>
      <c r="J28">
        <v>34445329</v>
      </c>
    </row>
    <row r="29" spans="1:10" x14ac:dyDescent="0.25">
      <c r="A29">
        <v>33920599</v>
      </c>
      <c r="B29" t="s">
        <v>20</v>
      </c>
      <c r="C29" s="1">
        <v>45653</v>
      </c>
      <c r="D29">
        <v>49</v>
      </c>
      <c r="E29">
        <v>170</v>
      </c>
      <c r="F29">
        <v>170</v>
      </c>
      <c r="G29">
        <v>120</v>
      </c>
      <c r="H29">
        <v>4</v>
      </c>
      <c r="I29">
        <f t="shared" si="0"/>
        <v>1.4166666666666667</v>
      </c>
      <c r="J29">
        <v>33920599</v>
      </c>
    </row>
    <row r="30" spans="1:10" x14ac:dyDescent="0.25">
      <c r="A30">
        <v>33127761</v>
      </c>
      <c r="B30" t="s">
        <v>11</v>
      </c>
      <c r="C30" s="1">
        <v>45653</v>
      </c>
      <c r="D30">
        <v>49</v>
      </c>
      <c r="E30">
        <v>208</v>
      </c>
      <c r="F30">
        <v>208</v>
      </c>
      <c r="G30">
        <v>120</v>
      </c>
      <c r="H30">
        <v>5</v>
      </c>
      <c r="I30">
        <f t="shared" si="0"/>
        <v>1.7333333333333334</v>
      </c>
      <c r="J30">
        <v>33127761</v>
      </c>
    </row>
    <row r="31" spans="1:10" x14ac:dyDescent="0.25">
      <c r="A31">
        <v>34538165</v>
      </c>
      <c r="B31" t="s">
        <v>11</v>
      </c>
      <c r="C31" s="1">
        <v>45673</v>
      </c>
      <c r="D31">
        <v>30</v>
      </c>
      <c r="E31">
        <v>189</v>
      </c>
      <c r="F31">
        <v>189</v>
      </c>
      <c r="G31">
        <v>103</v>
      </c>
      <c r="H31">
        <v>4</v>
      </c>
      <c r="I31">
        <f t="shared" si="0"/>
        <v>1.8349514563106797</v>
      </c>
      <c r="J31">
        <v>34538165</v>
      </c>
    </row>
    <row r="32" spans="1:10" x14ac:dyDescent="0.25">
      <c r="A32">
        <v>34017384</v>
      </c>
      <c r="B32" t="s">
        <v>21</v>
      </c>
      <c r="C32" s="1">
        <v>45677</v>
      </c>
      <c r="D32">
        <v>26</v>
      </c>
      <c r="E32">
        <v>275</v>
      </c>
      <c r="F32">
        <v>275</v>
      </c>
      <c r="G32">
        <v>120</v>
      </c>
      <c r="H32">
        <v>3</v>
      </c>
      <c r="I32">
        <f t="shared" si="0"/>
        <v>2.2916666666666665</v>
      </c>
      <c r="J32">
        <v>34017384</v>
      </c>
    </row>
    <row r="33" spans="1:10" x14ac:dyDescent="0.25">
      <c r="A33">
        <v>34017099</v>
      </c>
      <c r="B33" t="s">
        <v>12</v>
      </c>
      <c r="C33" s="1">
        <v>45677</v>
      </c>
      <c r="D33">
        <v>16</v>
      </c>
      <c r="E33">
        <v>159</v>
      </c>
      <c r="F33">
        <v>169</v>
      </c>
      <c r="G33">
        <v>100</v>
      </c>
      <c r="H33">
        <v>4</v>
      </c>
      <c r="I33">
        <f t="shared" si="0"/>
        <v>1.69</v>
      </c>
      <c r="J33">
        <v>34017099</v>
      </c>
    </row>
    <row r="34" spans="1:10" x14ac:dyDescent="0.25">
      <c r="A34">
        <v>34543570</v>
      </c>
      <c r="B34" t="s">
        <v>11</v>
      </c>
      <c r="C34" s="1">
        <v>45677</v>
      </c>
      <c r="D34">
        <v>26</v>
      </c>
      <c r="E34">
        <v>139.9</v>
      </c>
      <c r="F34">
        <v>139.9</v>
      </c>
      <c r="G34">
        <v>100</v>
      </c>
      <c r="H34">
        <v>3.5</v>
      </c>
      <c r="I34">
        <f t="shared" si="0"/>
        <v>1.399</v>
      </c>
      <c r="J34">
        <v>34543570</v>
      </c>
    </row>
    <row r="35" spans="1:10" x14ac:dyDescent="0.25">
      <c r="A35">
        <v>34565624</v>
      </c>
      <c r="B35" t="s">
        <v>11</v>
      </c>
      <c r="C35" s="1">
        <v>45687</v>
      </c>
      <c r="D35">
        <v>16</v>
      </c>
      <c r="E35">
        <v>229.9</v>
      </c>
      <c r="F35">
        <v>229.9</v>
      </c>
      <c r="G35">
        <v>127</v>
      </c>
      <c r="H35">
        <v>4</v>
      </c>
      <c r="I35">
        <f t="shared" si="0"/>
        <v>1.8102362204724409</v>
      </c>
      <c r="J35">
        <v>34565624</v>
      </c>
    </row>
    <row r="36" spans="1:10" x14ac:dyDescent="0.25">
      <c r="A36">
        <v>34562064</v>
      </c>
      <c r="B36" t="s">
        <v>13</v>
      </c>
      <c r="C36" s="1">
        <v>45687</v>
      </c>
      <c r="D36">
        <v>16</v>
      </c>
      <c r="E36">
        <v>192</v>
      </c>
      <c r="F36">
        <v>192</v>
      </c>
      <c r="G36">
        <v>104</v>
      </c>
      <c r="H36">
        <v>4</v>
      </c>
      <c r="I36">
        <f t="shared" si="0"/>
        <v>1.8461538461538463</v>
      </c>
      <c r="J36">
        <v>34562064</v>
      </c>
    </row>
    <row r="37" spans="1:10" x14ac:dyDescent="0.25">
      <c r="A37">
        <v>34537887</v>
      </c>
      <c r="B37" t="s">
        <v>11</v>
      </c>
      <c r="C37" s="1">
        <v>45696</v>
      </c>
      <c r="D37">
        <v>7</v>
      </c>
      <c r="E37">
        <v>234.5</v>
      </c>
      <c r="F37">
        <v>234.5</v>
      </c>
      <c r="G37">
        <v>126</v>
      </c>
      <c r="H37">
        <v>4</v>
      </c>
      <c r="I37">
        <f t="shared" si="0"/>
        <v>1.8611111111111112</v>
      </c>
      <c r="J37">
        <v>34537887</v>
      </c>
    </row>
    <row r="38" spans="1:10" x14ac:dyDescent="0.25">
      <c r="A38">
        <v>34576978</v>
      </c>
      <c r="B38" t="s">
        <v>11</v>
      </c>
      <c r="C38" s="1">
        <v>45696</v>
      </c>
      <c r="D38">
        <v>7</v>
      </c>
      <c r="E38">
        <v>189.9</v>
      </c>
      <c r="F38">
        <v>189.9</v>
      </c>
      <c r="G38">
        <v>120</v>
      </c>
      <c r="H38">
        <v>4</v>
      </c>
      <c r="I38">
        <f t="shared" si="0"/>
        <v>1.5825</v>
      </c>
      <c r="J38">
        <v>34576978</v>
      </c>
    </row>
    <row r="39" spans="1:10" x14ac:dyDescent="0.25">
      <c r="A39">
        <v>34258112</v>
      </c>
      <c r="B39" t="s">
        <v>22</v>
      </c>
      <c r="C39" s="1">
        <v>45696</v>
      </c>
      <c r="D39">
        <v>2</v>
      </c>
      <c r="E39">
        <v>279</v>
      </c>
      <c r="F39">
        <v>279</v>
      </c>
      <c r="G39">
        <v>124</v>
      </c>
      <c r="H39">
        <v>4</v>
      </c>
      <c r="I39">
        <f t="shared" si="0"/>
        <v>2.25</v>
      </c>
      <c r="J39">
        <v>34258112</v>
      </c>
    </row>
    <row r="40" spans="1:10" x14ac:dyDescent="0.25">
      <c r="A40">
        <v>33898265</v>
      </c>
      <c r="B40" t="s">
        <v>11</v>
      </c>
      <c r="C40" s="1">
        <v>45696</v>
      </c>
      <c r="D40">
        <v>7</v>
      </c>
      <c r="E40">
        <v>249</v>
      </c>
      <c r="F40">
        <v>249</v>
      </c>
      <c r="G40">
        <v>130</v>
      </c>
      <c r="H40">
        <v>5.5</v>
      </c>
      <c r="I40">
        <f t="shared" si="0"/>
        <v>1.9153846153846155</v>
      </c>
      <c r="J40">
        <v>33898265</v>
      </c>
    </row>
    <row r="41" spans="1:10" x14ac:dyDescent="0.25">
      <c r="A41">
        <v>34588885</v>
      </c>
      <c r="B41" t="s">
        <v>23</v>
      </c>
      <c r="C41" s="1">
        <v>45698</v>
      </c>
      <c r="D41">
        <v>5</v>
      </c>
      <c r="E41">
        <v>179</v>
      </c>
      <c r="F41">
        <v>179</v>
      </c>
      <c r="G41">
        <v>112</v>
      </c>
      <c r="H41">
        <v>4</v>
      </c>
      <c r="I41">
        <f t="shared" si="0"/>
        <v>1.5982142857142858</v>
      </c>
      <c r="J41">
        <v>34588885</v>
      </c>
    </row>
    <row r="42" spans="1:10" x14ac:dyDescent="0.25">
      <c r="A42">
        <v>34596580</v>
      </c>
      <c r="B42" t="s">
        <v>9</v>
      </c>
      <c r="C42" s="1">
        <v>45703</v>
      </c>
      <c r="D42">
        <v>0</v>
      </c>
      <c r="E42">
        <v>183.75</v>
      </c>
      <c r="F42">
        <v>183.75</v>
      </c>
      <c r="G42">
        <v>105</v>
      </c>
      <c r="H42">
        <v>4</v>
      </c>
      <c r="I42">
        <f t="shared" si="0"/>
        <v>1.75</v>
      </c>
      <c r="J42">
        <v>34596580</v>
      </c>
    </row>
    <row r="43" spans="1:10" x14ac:dyDescent="0.25">
      <c r="A43">
        <v>34594773</v>
      </c>
      <c r="B43" t="s">
        <v>24</v>
      </c>
      <c r="C43" s="1">
        <v>45703</v>
      </c>
      <c r="D43">
        <v>0</v>
      </c>
      <c r="E43">
        <v>189.9</v>
      </c>
      <c r="F43">
        <v>189.9</v>
      </c>
      <c r="G43">
        <v>115</v>
      </c>
      <c r="H43">
        <v>4</v>
      </c>
      <c r="I43">
        <f t="shared" si="0"/>
        <v>1.6513043478260869</v>
      </c>
      <c r="J43">
        <v>34594773</v>
      </c>
    </row>
    <row r="44" spans="1:10" x14ac:dyDescent="0.25">
      <c r="A44">
        <v>34594638</v>
      </c>
      <c r="B44" t="s">
        <v>25</v>
      </c>
      <c r="C44" s="1">
        <v>45703</v>
      </c>
      <c r="D44">
        <v>0</v>
      </c>
      <c r="E44">
        <v>189.9</v>
      </c>
      <c r="F44">
        <v>189.9</v>
      </c>
      <c r="G44">
        <v>115</v>
      </c>
      <c r="H44">
        <v>5</v>
      </c>
      <c r="I44">
        <f t="shared" si="0"/>
        <v>1.6513043478260869</v>
      </c>
      <c r="J44">
        <v>34594638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advert_summaryzzz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Wirth</cp:lastModifiedBy>
  <dcterms:created xsi:type="dcterms:W3CDTF">2025-02-15T23:49:29Z</dcterms:created>
  <dcterms:modified xsi:type="dcterms:W3CDTF">2025-02-15T23:52:53Z</dcterms:modified>
</cp:coreProperties>
</file>